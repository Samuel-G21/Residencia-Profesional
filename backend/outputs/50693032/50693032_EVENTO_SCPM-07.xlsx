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89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 ht="21" customHeight="1">
      <c r="A9" s="113" t="inlineStr">
        <is>
          <t xml:space="preserve">Nombre </t>
        </is>
      </c>
      <c r="B9" s="142" t="n"/>
      <c r="C9" s="143" t="n"/>
      <c r="D9" s="121" t="inlineStr">
        <is>
          <t>DIBUJO MECANICO</t>
        </is>
      </c>
      <c r="E9" s="144" t="n"/>
      <c r="F9" s="144" t="n"/>
      <c r="G9" s="144" t="n"/>
      <c r="H9" s="145" t="n"/>
      <c r="I9" s="122" t="inlineStr">
        <is>
          <t xml:space="preserve">Clave </t>
        </is>
      </c>
      <c r="J9" s="143" t="n"/>
      <c r="K9" s="123" t="n"/>
      <c r="L9" s="144" t="n"/>
      <c r="M9" s="145" t="n"/>
    </row>
    <row r="10">
      <c r="A10" s="113" t="inlineStr">
        <is>
          <t>Tipo de Instructor 
(Interno/Externo)</t>
        </is>
      </c>
      <c r="B10" s="146" t="n"/>
      <c r="C10" s="147" t="n"/>
      <c r="D10" s="148" t="inlineStr">
        <is>
          <t xml:space="preserve">Interno </t>
        </is>
      </c>
      <c r="E10" s="149" t="n"/>
      <c r="F10" s="149" t="n"/>
      <c r="G10" s="149" t="n"/>
      <c r="H10" s="150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1" t="n"/>
      <c r="B11" s="152" t="n"/>
      <c r="C11" s="153" t="n"/>
      <c r="D11" s="154" t="n"/>
      <c r="E11" s="155" t="n"/>
      <c r="F11" s="155" t="n"/>
      <c r="G11" s="155" t="n"/>
      <c r="H11" s="156" t="n"/>
      <c r="I11" s="157" t="n"/>
      <c r="J11" s="117" t="n">
        <v>46167</v>
      </c>
      <c r="K11" s="145" t="n"/>
      <c r="L11" s="117" t="n">
        <v>46193</v>
      </c>
      <c r="M11" s="145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8" t="n">
        <v>62023</v>
      </c>
      <c r="F12" s="144" t="n"/>
      <c r="G12" s="144" t="n"/>
      <c r="H12" s="145" t="n"/>
      <c r="I12" s="101" t="inlineStr">
        <is>
          <t>Inversión directa por participante (m.n.)</t>
        </is>
      </c>
      <c r="J12" s="143" t="n"/>
      <c r="K12" s="159">
        <f>E12/E13</f>
        <v/>
      </c>
      <c r="L12" s="144" t="n"/>
      <c r="M12" s="160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4" t="n"/>
      <c r="G13" s="144" t="n"/>
      <c r="H13" s="145" t="n"/>
      <c r="I13" s="161" t="inlineStr">
        <is>
          <t>Número de trabajadores del departamento que aprobaron:</t>
        </is>
      </c>
      <c r="J13" s="143" t="n"/>
      <c r="K13" s="162" t="n">
        <v>4</v>
      </c>
      <c r="L13" s="144" t="n"/>
      <c r="M13" s="160" t="n"/>
    </row>
    <row r="14" ht="3" customHeight="1">
      <c r="A14" s="163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4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5" t="n"/>
      <c r="B16" s="144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60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5" t="n"/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60" t="n"/>
    </row>
    <row r="19" ht="3" customHeight="1">
      <c r="A19" s="16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4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6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6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4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4" t="n"/>
      <c r="F25" s="144" t="n"/>
      <c r="G25" s="144" t="n"/>
      <c r="H25" s="145" t="n"/>
      <c r="I25" s="115" t="inlineStr">
        <is>
          <t>Centro de Trabajo</t>
        </is>
      </c>
      <c r="J25" s="60" t="inlineStr">
        <is>
          <t>REFINERÍA DE TULA</t>
        </is>
      </c>
      <c r="K25" s="144" t="n"/>
      <c r="L25" s="144" t="n"/>
      <c r="M25" s="145" t="n"/>
    </row>
    <row r="26" ht="24" customHeight="1">
      <c r="A26" s="62" t="inlineStr">
        <is>
          <t>Departamento</t>
        </is>
      </c>
      <c r="B26" s="142" t="n"/>
      <c r="C26" s="143" t="n"/>
      <c r="D26" s="148" t="inlineStr">
        <is>
          <t>GERENCIA DE REFINERÍA TULA</t>
        </is>
      </c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5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8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7" t="n"/>
      <c r="C29" s="167" t="n"/>
      <c r="D29" s="167" t="n"/>
      <c r="E29" s="167" t="n"/>
      <c r="F29" s="167" t="n"/>
      <c r="G29" s="42" t="n"/>
      <c r="H29" s="144" t="n"/>
      <c r="I29" s="68" t="inlineStr">
        <is>
          <t>Información de los trabajadores</t>
        </is>
      </c>
      <c r="J29" s="167" t="n"/>
      <c r="K29" s="167" t="n"/>
      <c r="L29" s="167" t="n"/>
      <c r="M29" s="169" t="n"/>
    </row>
    <row r="30" ht="26.25" customHeight="1">
      <c r="A30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1" t="n"/>
      <c r="I30" s="27" t="inlineStr">
        <is>
          <t>491325</t>
        </is>
      </c>
      <c r="J30" s="27" t="inlineStr">
        <is>
          <t>529000</t>
        </is>
      </c>
      <c r="K30" s="27" t="inlineStr">
        <is>
          <t>402155</t>
        </is>
      </c>
      <c r="L30" s="27" t="inlineStr">
        <is>
          <t>554571</t>
        </is>
      </c>
      <c r="M30" s="27" t="inlineStr">
        <is>
          <t>264067</t>
        </is>
      </c>
      <c r="N30" s="131" t="n"/>
    </row>
    <row r="31" ht="102" customHeight="1">
      <c r="A31" s="172" t="n"/>
      <c r="B31" s="173" t="n"/>
      <c r="C31" s="173" t="n"/>
      <c r="D31" s="173" t="n"/>
      <c r="E31" s="173" t="n"/>
      <c r="F31" s="173" t="n"/>
      <c r="G31" s="173" t="n"/>
      <c r="H31" s="174" t="n"/>
      <c r="I31" s="28" t="inlineStr">
        <is>
          <t>Garcia Mayo Samuel</t>
        </is>
      </c>
      <c r="J31" s="28" t="inlineStr">
        <is>
          <t>Garrido Martinez Claudia</t>
        </is>
      </c>
      <c r="K31" s="28" t="inlineStr">
        <is>
          <t>Linares Loyo Rosa Del Carmen</t>
        </is>
      </c>
      <c r="L31" s="28" t="inlineStr">
        <is>
          <t>Mar Gomez Emmanuel</t>
        </is>
      </c>
      <c r="M31" s="28" t="inlineStr">
        <is>
          <t>Patricio Baltazar Angel</t>
        </is>
      </c>
      <c r="N31" s="131" t="n"/>
    </row>
    <row r="32" ht="16.5" customHeight="1">
      <c r="A32" s="69" t="inlineStr">
        <is>
          <t>¿Adquirió conocimientos y habilidades para la ejecución de la actividad para la cual fue capacitado?</t>
        </is>
      </c>
      <c r="B32" s="167" t="n"/>
      <c r="C32" s="167" t="n"/>
      <c r="D32" s="167" t="n"/>
      <c r="E32" s="167" t="n"/>
      <c r="F32" s="167" t="n"/>
      <c r="G32" s="167" t="n"/>
      <c r="H32" s="168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 ht="16.5" customHeight="1">
      <c r="A33" s="69" t="inlineStr">
        <is>
          <t>¿Participa activamente con ideas y opiniones nuevas para mejorar su desempeño en el trabajo?</t>
        </is>
      </c>
      <c r="B33" s="167" t="n"/>
      <c r="C33" s="167" t="n"/>
      <c r="D33" s="167" t="n"/>
      <c r="E33" s="167" t="n"/>
      <c r="F33" s="167" t="n"/>
      <c r="G33" s="167" t="n"/>
      <c r="H33" s="168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 ht="16.5" customHeight="1">
      <c r="A34" s="69" t="inlineStr">
        <is>
          <t>¿Aplica los criterios de seguridad conforme a la capacitación recibida?</t>
        </is>
      </c>
      <c r="B34" s="167" t="n"/>
      <c r="C34" s="167" t="n"/>
      <c r="D34" s="167" t="n"/>
      <c r="E34" s="167" t="n"/>
      <c r="F34" s="167" t="n"/>
      <c r="G34" s="167" t="n"/>
      <c r="H34" s="168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¿Incrementó la eficiencia al realizar sus actividades?</t>
        </is>
      </c>
      <c r="B35" s="167" t="n"/>
      <c r="C35" s="167" t="n"/>
      <c r="D35" s="167" t="n"/>
      <c r="E35" s="167" t="n"/>
      <c r="F35" s="167" t="n"/>
      <c r="G35" s="167" t="n"/>
      <c r="H35" s="168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¿Utilizó los recursos de forma eficaz?</t>
        </is>
      </c>
      <c r="B36" s="167" t="n"/>
      <c r="C36" s="167" t="n"/>
      <c r="D36" s="167" t="n"/>
      <c r="E36" s="167" t="n"/>
      <c r="F36" s="167" t="n"/>
      <c r="G36" s="167" t="n"/>
      <c r="H36" s="168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¿Disminuyó la supervisión directa para el desempeño de sus actividades?</t>
        </is>
      </c>
      <c r="B37" s="167" t="n"/>
      <c r="C37" s="167" t="n"/>
      <c r="D37" s="167" t="n"/>
      <c r="E37" s="167" t="n"/>
      <c r="F37" s="167" t="n"/>
      <c r="G37" s="167" t="n"/>
      <c r="H37" s="168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¿Mejoró precisión al realizar su trabajo?</t>
        </is>
      </c>
      <c r="B38" s="167" t="n"/>
      <c r="C38" s="167" t="n"/>
      <c r="D38" s="167" t="n"/>
      <c r="E38" s="167" t="n"/>
      <c r="F38" s="167" t="n"/>
      <c r="G38" s="167" t="n"/>
      <c r="H38" s="168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¿Mejoró el tiempo de ejecución de sus actividades?</t>
        </is>
      </c>
      <c r="B39" s="167" t="n"/>
      <c r="C39" s="167" t="n"/>
      <c r="D39" s="167" t="n"/>
      <c r="E39" s="167" t="n"/>
      <c r="F39" s="167" t="n"/>
      <c r="G39" s="167" t="n"/>
      <c r="H39" s="168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¿Existe mejoraia en los indicadores clave del proceso? (Eficiencia operativa, Indicadores seguridad)</t>
        </is>
      </c>
      <c r="B40" s="167" t="n"/>
      <c r="C40" s="167" t="n"/>
      <c r="D40" s="167" t="n"/>
      <c r="E40" s="167" t="n"/>
      <c r="F40" s="167" t="n"/>
      <c r="G40" s="167" t="n"/>
      <c r="H40" s="168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El evento de capacitación, ¿le permitió mejorar su trabajo?</t>
        </is>
      </c>
      <c r="B41" s="167" t="n"/>
      <c r="C41" s="167" t="n"/>
      <c r="D41" s="167" t="n"/>
      <c r="E41" s="167" t="n"/>
      <c r="F41" s="167" t="n"/>
      <c r="G41" s="167" t="n"/>
      <c r="H41" s="168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82" t="inlineStr">
        <is>
          <t>Promedio final</t>
        </is>
      </c>
      <c r="B42" s="167" t="n"/>
      <c r="C42" s="167" t="n"/>
      <c r="D42" s="167" t="n"/>
      <c r="E42" s="167" t="n"/>
      <c r="F42" s="167" t="n"/>
      <c r="G42" s="167" t="n"/>
      <c r="H42" s="168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 ht="16.5" customHeight="1">
      <c r="A43" s="82" t="inlineStr">
        <is>
          <t>Impacto de la capacitación en el negocio (ICN)</t>
        </is>
      </c>
      <c r="B43" s="167" t="n"/>
      <c r="C43" s="167" t="n"/>
      <c r="D43" s="167" t="n"/>
      <c r="E43" s="167" t="n"/>
      <c r="F43" s="167" t="n"/>
      <c r="G43" s="167" t="n"/>
      <c r="H43" s="168" t="n"/>
      <c r="I43" s="175">
        <f>10*((G29)*((SUM(I42:M42)/G29)*(K12)/$E$12))</f>
        <v/>
      </c>
      <c r="J43" s="176" t="n"/>
      <c r="K43" s="176" t="n"/>
      <c r="L43" s="176" t="n"/>
      <c r="M43" s="177" t="n"/>
    </row>
    <row r="44" ht="3" customHeight="1">
      <c r="A44" s="163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4" t="n"/>
    </row>
    <row r="45" ht="22.9" customHeight="1">
      <c r="A45" s="87" t="inlineStr">
        <is>
          <t>Referente al curso:</t>
        </is>
      </c>
      <c r="B45" s="167" t="n"/>
      <c r="C45" s="167" t="n"/>
      <c r="D45" s="167" t="n"/>
      <c r="E45" s="167" t="n"/>
      <c r="F45" s="167" t="n"/>
      <c r="G45" s="167" t="n"/>
      <c r="H45" s="168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 ht="16.5" customHeight="1">
      <c r="A46" s="128" t="inlineStr">
        <is>
          <t>¿Conoció el temario del evento antes de su realización?</t>
        </is>
      </c>
      <c r="B46" s="167" t="n"/>
      <c r="C46" s="167" t="n"/>
      <c r="D46" s="167" t="n"/>
      <c r="E46" s="167" t="n"/>
      <c r="F46" s="167" t="n"/>
      <c r="G46" s="167" t="n"/>
      <c r="H46" s="168" t="n"/>
      <c r="I46" s="31" t="n"/>
      <c r="J46" s="31" t="n"/>
      <c r="K46" s="31" t="n"/>
      <c r="L46" s="36" t="inlineStr">
        <is>
          <t>X</t>
        </is>
      </c>
      <c r="M46" s="32" t="n"/>
    </row>
    <row r="47" ht="16.9" customHeight="1">
      <c r="A47" s="128" t="inlineStr">
        <is>
          <t>¿Se resolvió total o parcialmente el problema planteado en la solicitud del evento?</t>
        </is>
      </c>
      <c r="B47" s="167" t="n"/>
      <c r="C47" s="167" t="n"/>
      <c r="D47" s="167" t="n"/>
      <c r="E47" s="167" t="n"/>
      <c r="F47" s="167" t="n"/>
      <c r="G47" s="167" t="n"/>
      <c r="H47" s="168" t="n"/>
      <c r="I47" s="31" t="n"/>
      <c r="J47" s="31" t="n"/>
      <c r="K47" s="31" t="n"/>
      <c r="L47" s="31" t="inlineStr">
        <is>
          <t>X</t>
        </is>
      </c>
      <c r="M47" s="32" t="n"/>
    </row>
    <row r="48" ht="16.9" customHeight="1">
      <c r="A48" s="128" t="inlineStr">
        <is>
          <t>¿Obtuvo algún beneficio adicional al impartirse este evento?</t>
        </is>
      </c>
      <c r="B48" s="167" t="n"/>
      <c r="C48" s="167" t="n"/>
      <c r="D48" s="167" t="n"/>
      <c r="E48" s="167" t="n"/>
      <c r="F48" s="167" t="n"/>
      <c r="G48" s="167" t="n"/>
      <c r="H48" s="168" t="n"/>
      <c r="I48" s="31" t="n"/>
      <c r="J48" s="31" t="n"/>
      <c r="K48" s="31" t="n"/>
      <c r="L48" s="31" t="inlineStr">
        <is>
          <t>X</t>
        </is>
      </c>
      <c r="M48" s="32" t="n"/>
    </row>
    <row r="49" ht="16.9" customHeight="1">
      <c r="A49" s="128" t="inlineStr">
        <is>
          <t>¿Se programó oportunamente a los trabajadores al evento?</t>
        </is>
      </c>
      <c r="B49" s="167" t="n"/>
      <c r="C49" s="167" t="n"/>
      <c r="D49" s="167" t="n"/>
      <c r="E49" s="167" t="n"/>
      <c r="F49" s="167" t="n"/>
      <c r="G49" s="167" t="n"/>
      <c r="H49" s="168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78" t="n"/>
      <c r="M50" s="141" t="n"/>
    </row>
    <row r="51">
      <c r="A51" s="179" t="inlineStr">
        <is>
          <t>Comentarios para la mejora de eventos subsecuentes</t>
        </is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  <c r="L51" s="167" t="n"/>
      <c r="M51" s="169" t="n"/>
    </row>
    <row r="52" ht="40.5" customHeight="1">
      <c r="A52" s="180" t="n"/>
      <c r="B52" s="181" t="n"/>
      <c r="C52" s="181" t="n"/>
      <c r="D52" s="181" t="n"/>
      <c r="E52" s="181" t="n"/>
      <c r="F52" s="181" t="n"/>
      <c r="G52" s="181" t="n"/>
      <c r="H52" s="181" t="n"/>
      <c r="I52" s="181" t="n"/>
      <c r="J52" s="181" t="n"/>
      <c r="K52" s="181" t="n"/>
      <c r="L52" s="181" t="n"/>
      <c r="M52" s="182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 ht="12.75" customHeight="1">
      <c r="A54" s="24" t="n"/>
      <c r="B54" s="25" t="n"/>
      <c r="C54" s="81" t="inlineStr">
        <is>
          <t>LIC. SANDRA LUZ OSORIO MURILLO F- 327831</t>
        </is>
      </c>
      <c r="D54" s="183" t="n"/>
      <c r="E54" s="183" t="n"/>
      <c r="F54" s="183" t="n"/>
      <c r="G54" s="21" t="n"/>
      <c r="H54" s="21" t="n"/>
      <c r="I54" s="184" t="inlineStr">
        <is>
          <t>Tomas Olvera Jimenez F-358117</t>
        </is>
      </c>
      <c r="J54" s="183" t="n"/>
      <c r="K54" s="183" t="n"/>
      <c r="L54" s="183" t="n"/>
      <c r="M54" s="23" t="n"/>
    </row>
    <row r="55" ht="27.75" customHeight="1">
      <c r="A55" s="24" t="n"/>
      <c r="B55" s="25" t="n"/>
      <c r="C55" s="185" t="n"/>
      <c r="D55" s="185" t="n"/>
      <c r="E55" s="185" t="n"/>
      <c r="F55" s="185" t="n"/>
      <c r="G55" s="21" t="n"/>
      <c r="H55" s="26" t="n"/>
      <c r="I55" s="185" t="n"/>
      <c r="J55" s="185" t="n"/>
      <c r="K55" s="185" t="n"/>
      <c r="L55" s="185" t="n"/>
      <c r="M55" s="23" t="n"/>
    </row>
    <row r="56" ht="21" customHeight="1">
      <c r="A56" s="24" t="n"/>
      <c r="B56" s="25" t="n"/>
      <c r="C56" s="139" t="inlineStr">
        <is>
          <t>Nombre y firma del área de Desarrollo Humano</t>
        </is>
      </c>
      <c r="D56" s="183" t="n"/>
      <c r="E56" s="183" t="n"/>
      <c r="F56" s="183" t="n"/>
      <c r="G56" s="25" t="n"/>
      <c r="H56" s="25" t="n"/>
      <c r="I56" s="139" t="inlineStr">
        <is>
          <t>Nombre y firma del responsable del Área Usuaria</t>
        </is>
      </c>
      <c r="J56" s="183" t="n"/>
      <c r="K56" s="183" t="n"/>
      <c r="L56" s="183" t="n"/>
      <c r="M56" s="23" t="n"/>
    </row>
    <row r="57">
      <c r="A57" s="186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187" t="n"/>
      <c r="L57" s="187" t="n"/>
      <c r="M57" s="188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2026-09-14T19:45:47Z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