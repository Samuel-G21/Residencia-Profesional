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Arial"/>
      <sz val="10"/>
    </font>
    <font>
      <name val="Arial"/>
      <family val="2"/>
      <sz val="8"/>
    </font>
    <font>
      <name val="Arial"/>
      <family val="2"/>
      <b val="1"/>
      <sz val="8"/>
    </font>
    <font>
      <name val="Arial"/>
      <family val="2"/>
      <sz val="10"/>
    </font>
    <font>
      <name val="Arial"/>
      <family val="2"/>
      <sz val="10"/>
    </font>
    <font>
      <name val="Arial"/>
      <family val="2"/>
      <b val="1"/>
      <i val="1"/>
      <sz val="8"/>
    </font>
    <font>
      <name val="Arial"/>
      <family val="2"/>
      <b val="1"/>
      <sz val="9"/>
    </font>
    <font>
      <name val="Arial"/>
      <family val="2"/>
      <b val="1"/>
      <sz val="10"/>
    </font>
    <font>
      <name val="Arial"/>
      <family val="2"/>
      <b val="1"/>
      <sz val="10.5"/>
    </font>
    <font>
      <name val="Arial"/>
      <family val="2"/>
      <b val="1"/>
      <sz val="11"/>
    </font>
    <font>
      <name val="Arial"/>
      <family val="2"/>
      <color rgb="FFFF0000"/>
      <sz val="8"/>
    </font>
  </fonts>
  <fills count="5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27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1" fillId="2" borderId="1" pivotButton="0" quotePrefix="0" xfId="0"/>
    <xf numFmtId="0" fontId="1" fillId="2" borderId="2" pivotButton="0" quotePrefix="0" xfId="0"/>
    <xf numFmtId="0" fontId="10" fillId="0" borderId="0" pivotButton="0" quotePrefix="0" xfId="0"/>
    <xf numFmtId="0" fontId="4" fillId="0" borderId="0" pivotButton="0" quotePrefix="0" xfId="0"/>
    <xf numFmtId="0" fontId="1" fillId="2" borderId="3" pivotButton="0" quotePrefix="0" xfId="0"/>
    <xf numFmtId="0" fontId="1" fillId="2" borderId="4" pivotButton="0" quotePrefix="0" xfId="0"/>
    <xf numFmtId="0" fontId="2" fillId="0" borderId="0" applyAlignment="1" pivotButton="0" quotePrefix="0" xfId="0">
      <alignment horizontal="right"/>
    </xf>
    <xf numFmtId="0" fontId="2" fillId="2" borderId="5" pivotButton="0" quotePrefix="0" xfId="0"/>
    <xf numFmtId="0" fontId="2" fillId="2" borderId="6" pivotButton="0" quotePrefix="0" xfId="0"/>
    <xf numFmtId="0" fontId="2" fillId="2" borderId="4" pivotButton="0" quotePrefix="0" xfId="0"/>
    <xf numFmtId="0" fontId="2" fillId="2" borderId="3" pivotButton="0" quotePrefix="0" xfId="0"/>
    <xf numFmtId="0" fontId="8" fillId="0" borderId="0" pivotButton="0" quotePrefix="0" xfId="0"/>
    <xf numFmtId="0" fontId="8" fillId="0" borderId="0" applyAlignment="1" pivotButton="0" quotePrefix="0" xfId="0">
      <alignment vertical="center"/>
    </xf>
    <xf numFmtId="49" fontId="3" fillId="0" borderId="7" applyAlignment="1" pivotButton="0" quotePrefix="0" xfId="0">
      <alignment horizontal="center" vertical="center" wrapText="1"/>
    </xf>
    <xf numFmtId="0" fontId="6" fillId="0" borderId="0" pivotButton="0" quotePrefix="0" xfId="0"/>
    <xf numFmtId="0" fontId="1" fillId="0" borderId="8" pivotButton="0" quotePrefix="0" xfId="0"/>
    <xf numFmtId="0" fontId="1" fillId="0" borderId="2" pivotButton="0" quotePrefix="0" xfId="0"/>
    <xf numFmtId="0" fontId="4" fillId="0" borderId="9" applyAlignment="1" pivotButton="0" quotePrefix="0" xfId="0">
      <alignment horizontal="center" vertical="center"/>
    </xf>
    <xf numFmtId="0" fontId="1" fillId="0" borderId="10" pivotButton="0" quotePrefix="0" xfId="0"/>
    <xf numFmtId="0" fontId="1" fillId="0" borderId="11" pivotButton="0" quotePrefix="0" xfId="0"/>
    <xf numFmtId="0" fontId="1" fillId="0" borderId="12" applyAlignment="1" pivotButton="0" quotePrefix="0" xfId="0">
      <alignment horizontal="center"/>
    </xf>
    <xf numFmtId="0" fontId="1" fillId="0" borderId="13" applyAlignment="1" pivotButton="0" quotePrefix="0" xfId="0">
      <alignment horizontal="center"/>
    </xf>
    <xf numFmtId="0" fontId="1" fillId="0" borderId="14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pivotButton="0" quotePrefix="0" xfId="0"/>
    <xf numFmtId="0" fontId="1" fillId="0" borderId="17" pivotButton="0" quotePrefix="0" xfId="0"/>
    <xf numFmtId="0" fontId="4" fillId="0" borderId="18" applyAlignment="1" pivotButton="0" quotePrefix="0" xfId="0">
      <alignment horizontal="center" vertical="center"/>
    </xf>
    <xf numFmtId="0" fontId="4" fillId="0" borderId="19" pivotButton="0" quotePrefix="0" xfId="0"/>
    <xf numFmtId="0" fontId="4" fillId="0" borderId="7" applyAlignment="1" pivotButton="0" quotePrefix="0" xfId="0">
      <alignment horizontal="center" vertical="center"/>
    </xf>
    <xf numFmtId="0" fontId="1" fillId="0" borderId="20" pivotButton="0" quotePrefix="0" xfId="0"/>
    <xf numFmtId="0" fontId="1" fillId="0" borderId="4" pivotButton="0" quotePrefix="0" xfId="0"/>
    <xf numFmtId="0" fontId="4" fillId="0" borderId="21" applyAlignment="1" pivotButton="0" quotePrefix="0" xfId="0">
      <alignment horizontal="center" vertical="center"/>
    </xf>
    <xf numFmtId="0" fontId="1" fillId="0" borderId="21" pivotButton="0" quotePrefix="0" xfId="0"/>
    <xf numFmtId="0" fontId="1" fillId="0" borderId="22" pivotButton="0" quotePrefix="0" xfId="0"/>
    <xf numFmtId="0" fontId="4" fillId="0" borderId="23" applyAlignment="1" pivotButton="0" quotePrefix="0" xfId="0">
      <alignment horizontal="center" vertical="center"/>
    </xf>
    <xf numFmtId="0" fontId="1" fillId="0" borderId="23" pivotButton="0" quotePrefix="0" xfId="0"/>
    <xf numFmtId="0" fontId="4" fillId="0" borderId="24" applyAlignment="1" pivotButton="0" quotePrefix="0" xfId="0">
      <alignment horizontal="center" vertical="center"/>
    </xf>
    <xf numFmtId="0" fontId="1" fillId="0" borderId="25" pivotButton="0" quotePrefix="0" xfId="0"/>
    <xf numFmtId="0" fontId="1" fillId="0" borderId="26" pivotButton="0" quotePrefix="0" xfId="0"/>
    <xf numFmtId="0" fontId="7" fillId="0" borderId="27" applyAlignment="1" pivotButton="0" quotePrefix="0" xfId="0">
      <alignment horizontal="center" vertical="center"/>
    </xf>
    <xf numFmtId="0" fontId="1" fillId="0" borderId="28" pivotButton="0" quotePrefix="0" xfId="0"/>
    <xf numFmtId="0" fontId="1" fillId="0" borderId="29" pivotButton="0" quotePrefix="0" xfId="0"/>
    <xf numFmtId="0" fontId="1" fillId="0" borderId="30" pivotButton="0" quotePrefix="0" xfId="0"/>
    <xf numFmtId="0" fontId="4" fillId="0" borderId="3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2" fillId="3" borderId="32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3" borderId="32" applyAlignment="1" pivotButton="0" quotePrefix="0" xfId="0">
      <alignment horizontal="center" vertical="center" wrapText="1"/>
    </xf>
    <xf numFmtId="0" fontId="1" fillId="0" borderId="8" pivotButton="0" quotePrefix="0" xfId="0"/>
    <xf numFmtId="0" fontId="1" fillId="0" borderId="2" pivotButton="0" quotePrefix="0" xfId="0"/>
    <xf numFmtId="0" fontId="1" fillId="0" borderId="16" pivotButton="0" quotePrefix="0" xfId="0"/>
    <xf numFmtId="0" fontId="1" fillId="0" borderId="17" pivotButton="0" quotePrefix="0" xfId="0"/>
    <xf numFmtId="0" fontId="1" fillId="2" borderId="11" pivotButton="0" quotePrefix="0" xfId="0"/>
    <xf numFmtId="0" fontId="9" fillId="2" borderId="1" applyAlignment="1" pivotButton="0" quotePrefix="0" xfId="0">
      <alignment horizontal="center" vertical="center"/>
    </xf>
    <xf numFmtId="0" fontId="9" fillId="2" borderId="32" applyAlignment="1" pivotButton="0" quotePrefix="0" xfId="0">
      <alignment horizontal="center" vertical="center"/>
    </xf>
    <xf numFmtId="0" fontId="7" fillId="0" borderId="6" applyAlignment="1" pivotButton="0" quotePrefix="0" xfId="0">
      <alignment horizontal="center"/>
    </xf>
    <xf numFmtId="0" fontId="7" fillId="0" borderId="4" applyAlignment="1" pivotButton="0" quotePrefix="0" xfId="0">
      <alignment horizontal="center"/>
    </xf>
    <xf numFmtId="0" fontId="7" fillId="0" borderId="3" applyAlignment="1" pivotButton="0" quotePrefix="0" xfId="0">
      <alignment horizontal="center"/>
    </xf>
    <xf numFmtId="0" fontId="7" fillId="0" borderId="33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7" fillId="0" borderId="34" applyAlignment="1" pivotButton="0" quotePrefix="0" xfId="0">
      <alignment horizontal="center"/>
    </xf>
    <xf numFmtId="0" fontId="7" fillId="0" borderId="6" applyAlignment="1" pivotButton="0" quotePrefix="0" xfId="0">
      <alignment horizontal="center" wrapText="1"/>
    </xf>
    <xf numFmtId="0" fontId="7" fillId="0" borderId="4" applyAlignment="1" pivotButton="0" quotePrefix="0" xfId="0">
      <alignment horizontal="center" wrapText="1"/>
    </xf>
    <xf numFmtId="0" fontId="7" fillId="0" borderId="3" applyAlignment="1" pivotButton="0" quotePrefix="0" xfId="0">
      <alignment horizontal="center" wrapText="1"/>
    </xf>
    <xf numFmtId="0" fontId="7" fillId="0" borderId="33" applyAlignment="1" pivotButton="0" quotePrefix="0" xfId="0">
      <alignment horizontal="center" wrapText="1"/>
    </xf>
    <xf numFmtId="0" fontId="7" fillId="0" borderId="0" applyAlignment="1" pivotButton="0" quotePrefix="0" xfId="0">
      <alignment horizontal="center" wrapText="1"/>
    </xf>
    <xf numFmtId="0" fontId="7" fillId="0" borderId="34" applyAlignment="1" pivotButton="0" quotePrefix="0" xfId="0">
      <alignment horizontal="center" wrapText="1"/>
    </xf>
    <xf numFmtId="0" fontId="4" fillId="0" borderId="2" applyAlignment="1" pivotButton="0" quotePrefix="0" xfId="0">
      <alignment horizontal="left"/>
    </xf>
    <xf numFmtId="0" fontId="3" fillId="0" borderId="2" applyAlignment="1" pivotButton="0" quotePrefix="0" xfId="0">
      <alignment horizontal="left"/>
    </xf>
    <xf numFmtId="0" fontId="3" fillId="0" borderId="17" applyAlignment="1" pivotButton="0" quotePrefix="0" xfId="0">
      <alignment horizontal="left"/>
    </xf>
    <xf numFmtId="0" fontId="4" fillId="0" borderId="17" applyAlignment="1" pivotButton="0" quotePrefix="0" xfId="0">
      <alignment horizontal="left"/>
    </xf>
    <xf numFmtId="0" fontId="2" fillId="2" borderId="35" pivotButton="0" quotePrefix="0" xfId="0"/>
    <xf numFmtId="0" fontId="2" fillId="2" borderId="36" pivotButton="0" quotePrefix="0" xfId="0"/>
    <xf numFmtId="0" fontId="2" fillId="2" borderId="37" pivotButton="0" quotePrefix="0" xfId="0"/>
    <xf numFmtId="0" fontId="2" fillId="2" borderId="38" pivotButton="0" quotePrefix="0" xfId="0"/>
    <xf numFmtId="0" fontId="2" fillId="2" borderId="39" pivotButton="0" quotePrefix="0" xfId="0"/>
    <xf numFmtId="0" fontId="2" fillId="2" borderId="40" applyAlignment="1" pivotButton="0" quotePrefix="0" xfId="0">
      <alignment horizontal="center"/>
    </xf>
    <xf numFmtId="0" fontId="2" fillId="2" borderId="41" applyAlignment="1" pivotButton="0" quotePrefix="0" xfId="0">
      <alignment horizontal="center"/>
    </xf>
    <xf numFmtId="0" fontId="3" fillId="4" borderId="1" applyAlignment="1" pivotButton="0" quotePrefix="0" xfId="0">
      <alignment horizontal="center" vertical="center"/>
    </xf>
    <xf numFmtId="0" fontId="4" fillId="4" borderId="32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32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4" fillId="0" borderId="32" applyAlignment="1" pivotButton="0" quotePrefix="0" xfId="0">
      <alignment horizontal="center" vertical="center"/>
    </xf>
    <xf numFmtId="14" fontId="3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2" borderId="42" applyAlignment="1" pivotButton="0" quotePrefix="0" xfId="0">
      <alignment horizontal="center"/>
    </xf>
    <xf numFmtId="0" fontId="2" fillId="2" borderId="17" applyAlignment="1" pivotButton="0" quotePrefix="0" xfId="0">
      <alignment horizontal="center"/>
    </xf>
    <xf numFmtId="0" fontId="2" fillId="2" borderId="43" applyAlignment="1" pivotButton="0" quotePrefix="0" xfId="0">
      <alignment horizontal="center"/>
    </xf>
    <xf numFmtId="49" fontId="3" fillId="0" borderId="42" applyAlignment="1" pivotButton="0" quotePrefix="0" xfId="0">
      <alignment horizontal="center" vertical="center" wrapText="1"/>
    </xf>
    <xf numFmtId="49" fontId="4" fillId="0" borderId="17" applyAlignment="1" pivotButton="0" quotePrefix="0" xfId="0">
      <alignment horizontal="center" vertical="center" wrapText="1"/>
    </xf>
    <xf numFmtId="49" fontId="4" fillId="0" borderId="43" applyAlignment="1" pivotButton="0" quotePrefix="0" xfId="0">
      <alignment horizontal="center" vertical="center" wrapText="1"/>
    </xf>
    <xf numFmtId="49" fontId="4" fillId="0" borderId="42" applyAlignment="1" pivotButton="0" quotePrefix="0" xfId="0">
      <alignment horizontal="center" vertical="center" wrapText="1"/>
    </xf>
    <xf numFmtId="0" fontId="2" fillId="2" borderId="7" applyAlignment="1" pivotButton="0" quotePrefix="0" xfId="0">
      <alignment horizontal="center"/>
    </xf>
    <xf numFmtId="0" fontId="0" fillId="0" borderId="17" pivotButton="0" quotePrefix="0" xfId="0"/>
    <xf numFmtId="0" fontId="0" fillId="0" borderId="43" pivotButton="0" quotePrefix="0" xfId="0"/>
    <xf numFmtId="49" fontId="4" fillId="0" borderId="7" applyAlignment="1" pivotButton="0" quotePrefix="0" xfId="0">
      <alignment horizontal="center" vertical="center" wrapText="1"/>
    </xf>
    <xf numFmtId="0" fontId="3" fillId="4" borderId="44" applyAlignment="1" pivotButton="0" quotePrefix="0" xfId="0">
      <alignment horizontal="center" vertical="center"/>
    </xf>
    <xf numFmtId="0" fontId="0" fillId="0" borderId="32" pivotButton="0" quotePrefix="0" xfId="0"/>
    <xf numFmtId="0" fontId="4" fillId="0" borderId="44" applyAlignment="1" pivotButton="0" quotePrefix="0" xfId="0">
      <alignment horizontal="center" vertical="center" wrapText="1"/>
    </xf>
    <xf numFmtId="0" fontId="0" fillId="0" borderId="2" pivotButton="0" quotePrefix="0" xfId="0"/>
    <xf numFmtId="0" fontId="3" fillId="0" borderId="44" applyAlignment="1" pivotButton="0" quotePrefix="0" xfId="0">
      <alignment horizontal="center" vertical="center"/>
    </xf>
    <xf numFmtId="14" fontId="3" fillId="0" borderId="44" applyAlignment="1" pivotButton="0" quotePrefix="0" xfId="0">
      <alignment horizontal="center" vertical="center"/>
    </xf>
    <xf numFmtId="0" fontId="4" fillId="4" borderId="44" applyAlignment="1" pivotButton="0" quotePrefix="0" xfId="0">
      <alignment horizontal="center" vertical="center"/>
    </xf>
    <xf numFmtId="0" fontId="2" fillId="2" borderId="45" pivotButton="0" quotePrefix="0" xfId="0"/>
    <xf numFmtId="0" fontId="0" fillId="0" borderId="36" pivotButton="0" quotePrefix="0" xfId="0"/>
    <xf numFmtId="0" fontId="0" fillId="0" borderId="37" pivotButton="0" quotePrefix="0" xfId="0"/>
    <xf numFmtId="0" fontId="0" fillId="0" borderId="38" pivotButton="0" quotePrefix="0" xfId="0"/>
    <xf numFmtId="0" fontId="2" fillId="2" borderId="40" pivotButton="0" quotePrefix="0" xfId="0"/>
    <xf numFmtId="0" fontId="0" fillId="0" borderId="11" pivotButton="0" quotePrefix="0" xfId="0"/>
    <xf numFmtId="0" fontId="9" fillId="2" borderId="44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/>
    </xf>
    <xf numFmtId="0" fontId="0" fillId="0" borderId="4" pivotButton="0" quotePrefix="0" xfId="0"/>
    <xf numFmtId="0" fontId="0" fillId="0" borderId="3" pivotButton="0" quotePrefix="0" xfId="0"/>
    <xf numFmtId="0" fontId="7" fillId="0" borderId="5" applyAlignment="1" pivotButton="0" quotePrefix="0" xfId="0">
      <alignment horizontal="center" wrapText="1"/>
    </xf>
    <xf numFmtId="0" fontId="0" fillId="0" borderId="33" pivotButton="0" quotePrefix="0" xfId="0"/>
    <xf numFmtId="0" fontId="0" fillId="0" borderId="34" pivotButton="0" quotePrefix="0" xfId="0"/>
    <xf numFmtId="0" fontId="2" fillId="3" borderId="44" applyAlignment="1" pivotButton="0" quotePrefix="0" xfId="0">
      <alignment horizontal="center" vertical="center"/>
    </xf>
    <xf numFmtId="0" fontId="2" fillId="3" borderId="44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37"/>
  <sheetViews>
    <sheetView tabSelected="1" zoomScale="140" zoomScaleNormal="100" workbookViewId="0">
      <selection activeCell="K34" sqref="K34:P36"/>
    </sheetView>
  </sheetViews>
  <sheetFormatPr baseColWidth="10" defaultRowHeight="12.75"/>
  <cols>
    <col width="13.85546875" customWidth="1" style="2" min="1" max="1"/>
    <col width="15.28515625" customWidth="1" style="2" min="2" max="2"/>
    <col width="6" customWidth="1" style="2" min="3" max="3"/>
    <col width="7" customWidth="1" style="2" min="4" max="4"/>
    <col width="8.7109375" customWidth="1" style="2" min="5" max="5"/>
    <col width="7.140625" customWidth="1" style="2" min="6" max="6"/>
    <col width="13.28515625" customWidth="1" style="2" min="7" max="7"/>
    <col width="10.28515625" customWidth="1" style="2" min="8" max="8"/>
    <col width="8.7109375" customWidth="1" style="2" min="9" max="10"/>
    <col width="10.5703125" customWidth="1" style="2" min="11" max="11"/>
    <col width="9.28515625" customWidth="1" style="2" min="12" max="12"/>
    <col width="6.28515625" customWidth="1" style="2" min="13" max="13"/>
    <col width="7" customWidth="1" style="2" min="14" max="14"/>
    <col width="6.28515625" customWidth="1" style="2" min="15" max="16"/>
  </cols>
  <sheetData>
    <row r="1">
      <c r="A1" s="93" t="inlineStr">
        <is>
          <t>SISTEMA DE CAPACITACIÓN EN PETROLEOS MEXICANOS Y EMPRESAS PRODUCTIVAS SUBSIDIARIAS</t>
        </is>
      </c>
    </row>
    <row r="2">
      <c r="A2" s="93" t="inlineStr">
        <is>
          <t>Resultados de la Evaluación Final de los Participantes para Eventos de Ascenso</t>
        </is>
      </c>
    </row>
    <row r="3">
      <c r="P3" s="9" t="inlineStr">
        <is>
          <t xml:space="preserve">SCPM-05A </t>
        </is>
      </c>
    </row>
    <row r="4" customFormat="1" s="6">
      <c r="A4" s="10" t="inlineStr">
        <is>
          <t>Clave evento</t>
        </is>
      </c>
      <c r="B4" s="10" t="inlineStr">
        <is>
          <t>Abreviatura evento</t>
        </is>
      </c>
      <c r="C4" s="101" t="inlineStr">
        <is>
          <t>Nombre del evento</t>
        </is>
      </c>
      <c r="D4" s="102" t="n"/>
      <c r="E4" s="102" t="n"/>
      <c r="F4" s="103" t="n"/>
      <c r="G4" s="101" t="inlineStr">
        <is>
          <t>Tipo de curso</t>
        </is>
      </c>
      <c r="H4" s="102" t="n"/>
      <c r="I4" s="103" t="n"/>
      <c r="J4" s="101" t="inlineStr">
        <is>
          <t>Tipo de Programa</t>
        </is>
      </c>
      <c r="K4" s="102" t="n"/>
      <c r="L4" s="103" t="n"/>
      <c r="M4" s="11" t="inlineStr">
        <is>
          <t>Pre requisito para el evento</t>
        </is>
      </c>
      <c r="N4" s="12" t="n"/>
      <c r="O4" s="12" t="n"/>
      <c r="P4" s="7" t="n"/>
    </row>
    <row r="5" ht="32.25" customFormat="1" customHeight="1" s="14">
      <c r="A5" s="16" t="inlineStr">
        <is>
          <t>50693527</t>
        </is>
      </c>
      <c r="B5" s="16" t="inlineStr">
        <is>
          <t>5CCAPCCX26</t>
        </is>
      </c>
      <c r="C5" s="16" t="inlineStr">
        <is>
          <t>SISTEMAS DE GESTION INTEGRAL</t>
        </is>
      </c>
      <c r="D5" s="102" t="n"/>
      <c r="E5" s="102" t="n"/>
      <c r="F5" s="103" t="n"/>
      <c r="G5" s="16" t="inlineStr">
        <is>
          <t>Curso Ascenso</t>
        </is>
      </c>
      <c r="H5" s="102" t="n"/>
      <c r="I5" s="103" t="n"/>
      <c r="J5" s="104" t="inlineStr">
        <is>
          <t xml:space="preserve">Capacitación Contractual </t>
        </is>
      </c>
      <c r="K5" s="102" t="n"/>
      <c r="L5" s="103" t="n"/>
      <c r="M5" s="16" t="inlineStr">
        <is>
          <t>Derecho escalafonario</t>
        </is>
      </c>
      <c r="N5" s="102" t="n"/>
      <c r="O5" s="102" t="n"/>
      <c r="P5" s="103" t="n"/>
    </row>
    <row r="6">
      <c r="A6" s="11" t="inlineStr">
        <is>
          <t>Sede del evento</t>
        </is>
      </c>
      <c r="B6" s="13" t="n"/>
      <c r="C6" s="11" t="inlineStr">
        <is>
          <t>Unidad organizativa</t>
        </is>
      </c>
      <c r="D6" s="12" t="n"/>
      <c r="E6" s="13" t="n"/>
      <c r="F6" s="11" t="inlineStr">
        <is>
          <t>Duración en horas</t>
        </is>
      </c>
      <c r="G6" s="12" t="n"/>
      <c r="H6" s="11" t="inlineStr">
        <is>
          <t>Fecha inicio</t>
        </is>
      </c>
      <c r="I6" s="12" t="n"/>
      <c r="J6" s="11" t="inlineStr">
        <is>
          <t>Fecha término</t>
        </is>
      </c>
      <c r="K6" s="13" t="n"/>
      <c r="L6" s="12" t="inlineStr">
        <is>
          <t>Tipo de Formación</t>
        </is>
      </c>
      <c r="M6" s="12" t="n"/>
      <c r="N6" s="8" t="n"/>
      <c r="O6" s="8" t="n"/>
      <c r="P6" s="7" t="n"/>
    </row>
    <row r="7" ht="24.75" customFormat="1" customHeight="1" s="15">
      <c r="A7" s="105" t="inlineStr">
        <is>
          <t>REFINERÍA DE TULA (2240)</t>
        </is>
      </c>
      <c r="B7" s="106" t="n"/>
      <c r="C7" s="107" t="n"/>
      <c r="D7" s="108" t="n"/>
      <c r="E7" s="106" t="n"/>
      <c r="F7" s="109" t="inlineStr">
        <is>
          <t>40</t>
        </is>
      </c>
      <c r="G7" s="106" t="n"/>
      <c r="H7" s="110" t="inlineStr">
        <is>
          <t>23/03/2026</t>
        </is>
      </c>
      <c r="I7" s="106" t="n"/>
      <c r="J7" s="110" t="inlineStr">
        <is>
          <t>27/03/2026</t>
        </is>
      </c>
      <c r="K7" s="106" t="n"/>
      <c r="L7" s="111" t="inlineStr">
        <is>
          <t>Curso presencial</t>
        </is>
      </c>
      <c r="M7" s="108" t="n"/>
      <c r="N7" s="108" t="n"/>
      <c r="O7" s="108" t="n"/>
      <c r="P7" s="106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</row>
    <row r="9" ht="18" customHeight="1">
      <c r="A9" s="2" t="inlineStr">
        <is>
          <t>Ficha:</t>
        </is>
      </c>
      <c r="C9" s="72" t="inlineStr">
        <is>
          <t>377388</t>
        </is>
      </c>
      <c r="D9" s="108" t="n"/>
      <c r="E9" s="108" t="n"/>
      <c r="F9" s="108" t="n"/>
      <c r="G9" s="17" t="n"/>
      <c r="H9" s="2" t="inlineStr">
        <is>
          <t>Nombre:</t>
        </is>
      </c>
      <c r="I9" s="73" t="inlineStr">
        <is>
          <t>Barajas Rocha Mayra Jhoana</t>
        </is>
      </c>
      <c r="J9" s="108" t="n"/>
      <c r="K9" s="108" t="n"/>
      <c r="L9" s="108" t="n"/>
      <c r="M9" s="108" t="n"/>
      <c r="N9" s="108" t="n"/>
      <c r="O9" s="108" t="n"/>
      <c r="P9" s="108" t="n"/>
    </row>
    <row r="10" ht="18" customHeight="1">
      <c r="A10" s="2" t="inlineStr">
        <is>
          <t>Area de Adscripción:</t>
        </is>
      </c>
      <c r="C10" s="73" t="inlineStr"/>
      <c r="D10" s="108" t="n"/>
      <c r="E10" s="108" t="n"/>
      <c r="F10" s="108" t="n"/>
      <c r="G10" s="108" t="n"/>
      <c r="H10" s="2" t="inlineStr">
        <is>
          <t>Categoría:</t>
        </is>
      </c>
      <c r="I10" s="74" t="inlineStr">
        <is>
          <t>ESPECIALISTA TECNICO "C"</t>
        </is>
      </c>
      <c r="J10" s="102" t="n"/>
      <c r="K10" s="102" t="n"/>
      <c r="L10" s="102" t="n"/>
      <c r="M10" s="102" t="n"/>
      <c r="N10" s="102" t="n"/>
      <c r="O10" s="102" t="n"/>
      <c r="P10" s="102" t="n"/>
    </row>
    <row r="11" ht="18" customHeight="1">
      <c r="A11" s="2" t="inlineStr">
        <is>
          <t>Clasificación:</t>
        </is>
      </c>
      <c r="C11" s="74" t="n"/>
      <c r="D11" s="102" t="n"/>
      <c r="E11" s="102" t="n"/>
      <c r="F11" s="102" t="n"/>
      <c r="G11" s="102" t="n"/>
    </row>
    <row r="12" ht="18" customHeight="1" thickBot="1"/>
    <row r="13" ht="18" customHeight="1" thickBot="1">
      <c r="A13" s="112" t="inlineStr">
        <is>
          <t>Evaluación teórica</t>
        </is>
      </c>
      <c r="B13" s="113" t="n"/>
      <c r="C13" s="113" t="n"/>
      <c r="D13" s="114" t="n"/>
      <c r="E13" s="79" t="inlineStr">
        <is>
          <t>Evaluación práctica</t>
        </is>
      </c>
      <c r="F13" s="113" t="n"/>
      <c r="G13" s="113" t="n"/>
      <c r="H13" s="115" t="n"/>
      <c r="I13" s="116" t="inlineStr">
        <is>
          <t>Desempeño del evento</t>
        </is>
      </c>
      <c r="J13" s="113" t="n"/>
      <c r="K13" s="113" t="n"/>
      <c r="L13" s="115" t="n"/>
      <c r="M13" s="81" t="inlineStr">
        <is>
          <t>% Asistencia</t>
        </is>
      </c>
      <c r="N13" s="115" t="n"/>
      <c r="O13" s="81" t="inlineStr">
        <is>
          <t>Aprobado</t>
        </is>
      </c>
      <c r="P13" s="115" t="n"/>
    </row>
    <row r="14" ht="18" customHeight="1">
      <c r="A14" s="53" t="inlineStr">
        <is>
          <t>Capacidad Intelectual</t>
        </is>
      </c>
      <c r="B14" s="108" t="n"/>
      <c r="C14" s="108" t="n"/>
      <c r="D14" s="20" t="n">
        <v>0</v>
      </c>
      <c r="E14" s="21" t="inlineStr">
        <is>
          <t>Nivel de habilidad y/o destreza</t>
        </is>
      </c>
      <c r="F14" s="22" t="n"/>
      <c r="G14" s="22" t="n"/>
      <c r="H14" s="20" t="n">
        <v>0</v>
      </c>
      <c r="I14" s="21" t="inlineStr">
        <is>
          <t>Grado de interés por el evento</t>
        </is>
      </c>
      <c r="J14" s="22" t="n"/>
      <c r="K14" s="22" t="n"/>
      <c r="L14" s="20" t="n">
        <v>0</v>
      </c>
      <c r="M14" s="23" t="inlineStr">
        <is>
          <t>Baja</t>
        </is>
      </c>
      <c r="N14" s="24" t="inlineStr">
        <is>
          <t>Cumplió</t>
        </is>
      </c>
      <c r="O14" s="25" t="inlineStr">
        <is>
          <t>Si</t>
        </is>
      </c>
      <c r="P14" s="26" t="inlineStr">
        <is>
          <t>No</t>
        </is>
      </c>
    </row>
    <row r="15" ht="18" customHeight="1">
      <c r="A15" s="55" t="inlineStr">
        <is>
          <t>Participación en Grupo</t>
        </is>
      </c>
      <c r="B15" s="102" t="n"/>
      <c r="C15" s="102" t="n"/>
      <c r="D15" s="29" t="n">
        <v>0</v>
      </c>
      <c r="E15" s="55" t="inlineStr">
        <is>
          <t>Dominio en la herramienta o equipo utilizado</t>
        </is>
      </c>
      <c r="F15" s="56" t="n"/>
      <c r="G15" s="56" t="n"/>
      <c r="H15" s="29" t="n">
        <v>0</v>
      </c>
      <c r="I15" s="55" t="inlineStr">
        <is>
          <t>Participación individual</t>
        </is>
      </c>
      <c r="J15" s="56" t="n"/>
      <c r="K15" s="56" t="n"/>
      <c r="L15" s="29" t="n">
        <v>0</v>
      </c>
      <c r="M15" s="30" t="n"/>
      <c r="N15" s="31" t="n">
        <v>0</v>
      </c>
      <c r="O15" s="31" t="inlineStr">
        <is>
          <t>x</t>
        </is>
      </c>
      <c r="P15" s="46" t="n"/>
    </row>
    <row r="16" ht="18" customHeight="1">
      <c r="A16" s="32" t="n"/>
      <c r="B16" s="33" t="n"/>
      <c r="C16" s="33" t="n"/>
      <c r="D16" s="34" t="n"/>
      <c r="E16" s="55" t="inlineStr">
        <is>
          <t>Tiempo de ejecución de la práctica</t>
        </is>
      </c>
      <c r="F16" s="56" t="n"/>
      <c r="G16" s="56" t="n"/>
      <c r="H16" s="29" t="n">
        <v>0</v>
      </c>
      <c r="I16" s="55" t="inlineStr">
        <is>
          <t>Puntualidad</t>
        </is>
      </c>
      <c r="J16" s="56" t="n"/>
      <c r="K16" s="56" t="n"/>
      <c r="L16" s="29" t="n">
        <v>0</v>
      </c>
      <c r="M16" s="32" t="n"/>
      <c r="N16" s="33" t="n"/>
      <c r="O16" s="33" t="n"/>
      <c r="P16" s="35" t="n"/>
    </row>
    <row r="17" ht="18" customHeight="1">
      <c r="A17" s="36" t="n"/>
      <c r="D17" s="37" t="n"/>
      <c r="E17" s="32" t="n"/>
      <c r="F17" s="33" t="n"/>
      <c r="G17" s="33" t="n"/>
      <c r="H17" s="34" t="n"/>
      <c r="I17" s="55" t="inlineStr">
        <is>
          <t>Integración en el grupo</t>
        </is>
      </c>
      <c r="J17" s="56" t="n"/>
      <c r="K17" s="56" t="n"/>
      <c r="L17" s="29" t="n">
        <v>0</v>
      </c>
      <c r="M17" s="36" t="n"/>
      <c r="P17" s="38" t="n"/>
    </row>
    <row r="18" ht="18" customHeight="1">
      <c r="A18" s="36" t="n"/>
      <c r="D18" s="37" t="n"/>
      <c r="E18" s="36" t="n"/>
      <c r="H18" s="37" t="n"/>
      <c r="I18" s="55" t="inlineStr">
        <is>
          <t>Grado de conocimientos adquiridos</t>
        </is>
      </c>
      <c r="J18" s="56" t="n"/>
      <c r="K18" s="56" t="n"/>
      <c r="L18" s="29" t="n">
        <v>0</v>
      </c>
      <c r="M18" s="36" t="n"/>
      <c r="P18" s="38" t="n"/>
    </row>
    <row r="19" ht="18" customHeight="1">
      <c r="A19" s="36" t="n"/>
      <c r="D19" s="37" t="n"/>
      <c r="E19" s="36" t="n"/>
      <c r="H19" s="37" t="n"/>
      <c r="I19" s="55" t="inlineStr">
        <is>
          <t>Compartir sus conocimientos y experien.</t>
        </is>
      </c>
      <c r="J19" s="56" t="n"/>
      <c r="K19" s="56" t="n"/>
      <c r="L19" s="29" t="n">
        <v>0</v>
      </c>
      <c r="M19" s="36" t="n"/>
      <c r="P19" s="38" t="n"/>
    </row>
    <row r="20" ht="18" customHeight="1">
      <c r="A20" s="53" t="n"/>
      <c r="B20" s="54" t="n"/>
      <c r="C20" s="54" t="n"/>
      <c r="D20" s="39" t="n"/>
      <c r="E20" s="53" t="n"/>
      <c r="F20" s="54" t="n"/>
      <c r="G20" s="54" t="n"/>
      <c r="H20" s="39" t="n"/>
      <c r="I20" s="55" t="inlineStr">
        <is>
          <t>Grado de atencion y concentración</t>
        </is>
      </c>
      <c r="J20" s="56" t="n"/>
      <c r="K20" s="56" t="n"/>
      <c r="L20" s="29" t="n">
        <v>0</v>
      </c>
      <c r="M20" s="36" t="n"/>
      <c r="P20" s="38" t="n"/>
    </row>
    <row r="21" ht="18" customHeight="1" thickBot="1">
      <c r="A21" s="40" t="inlineStr">
        <is>
          <t>Promedio</t>
        </is>
      </c>
      <c r="B21" s="41" t="n"/>
      <c r="C21" s="41" t="n"/>
      <c r="D21" s="42">
        <f>(INT(AVERAGE(D14:D15)))</f>
        <v/>
      </c>
      <c r="E21" s="40" t="inlineStr">
        <is>
          <t>Promedio</t>
        </is>
      </c>
      <c r="F21" s="41" t="n"/>
      <c r="G21" s="41" t="n"/>
      <c r="H21" s="42">
        <f>(INT(AVERAGE(H14:H16)))</f>
        <v/>
      </c>
      <c r="I21" s="40" t="inlineStr">
        <is>
          <t>Promedio</t>
        </is>
      </c>
      <c r="J21" s="41" t="n"/>
      <c r="K21" s="41" t="n"/>
      <c r="L21" s="42">
        <f>(INT(AVERAGE(L14:L20)))</f>
        <v/>
      </c>
      <c r="M21" s="43" t="n"/>
      <c r="N21" s="44" t="n"/>
      <c r="O21" s="44" t="n"/>
      <c r="P21" s="45" t="n"/>
    </row>
    <row r="22" ht="18" customHeight="1">
      <c r="A22" s="3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57" t="inlineStr">
        <is>
          <t>Calificación final</t>
        </is>
      </c>
      <c r="N22" s="117" t="n"/>
      <c r="O22" s="118">
        <f>(INT(AVERAGE(D21,H21)))</f>
        <v/>
      </c>
      <c r="P22" s="106" t="n"/>
    </row>
    <row r="23" ht="22.5" customHeight="1">
      <c r="A23" s="2" t="inlineStr">
        <is>
          <t>MOTIVO DE PARTICIPACION DEL EVENTO</t>
        </is>
      </c>
    </row>
    <row r="24" ht="12.6" customHeight="1">
      <c r="A24" s="2" t="inlineStr">
        <is>
          <t>1.- ANALISIS DE INCIDENTE</t>
        </is>
      </c>
      <c r="E24" s="2" t="inlineStr">
        <is>
          <t>(        )</t>
        </is>
      </c>
    </row>
    <row r="25" ht="12.6" customHeight="1">
      <c r="A25" s="2" t="inlineStr">
        <is>
          <t>2.- DISPOSICION EN PROG. CORPORATIVOS</t>
        </is>
      </c>
      <c r="E25" s="2" t="inlineStr">
        <is>
          <t>(        )</t>
        </is>
      </c>
    </row>
    <row r="26">
      <c r="A26" s="2" t="inlineStr">
        <is>
          <t>3.- EVALUACION DEL DESEMPEÑO</t>
        </is>
      </c>
      <c r="E26" s="2" t="inlineStr">
        <is>
          <t>(        )</t>
        </is>
      </c>
    </row>
    <row r="27">
      <c r="A27" s="2" t="inlineStr">
        <is>
          <t>4.- NUEVA TECNOLOGIA</t>
        </is>
      </c>
      <c r="E27" s="2" t="inlineStr">
        <is>
          <t>(        )</t>
        </is>
      </c>
    </row>
    <row r="28">
      <c r="A28" s="2" t="inlineStr">
        <is>
          <t>5.- NUEVO O CAMBIO DE PROCEDIMIENTOS</t>
        </is>
      </c>
      <c r="E28" s="2" t="inlineStr">
        <is>
          <t>(        )</t>
        </is>
      </c>
    </row>
    <row r="29">
      <c r="A29" s="2" t="inlineStr">
        <is>
          <t>6.- OBTENCION DE CERTIFICADO</t>
        </is>
      </c>
      <c r="E29" s="2" t="inlineStr">
        <is>
          <t>(        )</t>
        </is>
      </c>
    </row>
    <row r="30">
      <c r="A30" s="2" t="inlineStr">
        <is>
          <t>7.- PLAN INDIVIDUAL DE DESARROLLO</t>
        </is>
      </c>
      <c r="E30" s="2" t="inlineStr">
        <is>
          <t>(        )</t>
        </is>
      </c>
    </row>
    <row r="31">
      <c r="A31" s="2" t="inlineStr">
        <is>
          <t>8.- RECOMENDACIÓN DE AUDITORIA</t>
        </is>
      </c>
      <c r="E31" s="2" t="inlineStr">
        <is>
          <t>(        )</t>
        </is>
      </c>
    </row>
    <row r="32">
      <c r="A32" s="2" t="inlineStr">
        <is>
          <t>9.- REQUERIMIENTO DEL PUESTO</t>
        </is>
      </c>
      <c r="E32" s="2" t="inlineStr">
        <is>
          <t>(   X    )</t>
        </is>
      </c>
    </row>
    <row r="33">
      <c r="A33" s="5" t="n"/>
    </row>
    <row r="34" customFormat="1" s="6">
      <c r="A34" s="119" t="inlineStr">
        <is>
          <t>Lic. Sandra Luz Osorio Murillo F-327831</t>
        </is>
      </c>
      <c r="B34" s="120" t="n"/>
      <c r="C34" s="120" t="n"/>
      <c r="D34" s="120" t="n"/>
      <c r="E34" s="120" t="n"/>
      <c r="F34" s="121" t="n"/>
      <c r="G34" s="122" t="inlineStr">
        <is>
          <t>Ejecutivo Zarate F- 327374</t>
        </is>
      </c>
      <c r="H34" s="120" t="n"/>
      <c r="I34" s="120" t="n"/>
      <c r="J34" s="121" t="n"/>
      <c r="K34" s="119" t="inlineStr">
        <is>
          <t>F-</t>
        </is>
      </c>
      <c r="L34" s="120" t="n"/>
      <c r="M34" s="120" t="n"/>
      <c r="N34" s="120" t="n"/>
      <c r="O34" s="120" t="n"/>
      <c r="P34" s="121" t="n"/>
    </row>
    <row r="35" customFormat="1" s="6">
      <c r="A35" s="123" t="n"/>
      <c r="F35" s="124" t="n"/>
      <c r="G35" s="123" t="n"/>
      <c r="J35" s="124" t="n"/>
      <c r="K35" s="123" t="n"/>
      <c r="P35" s="124" t="n"/>
    </row>
    <row r="36" customFormat="1" s="6">
      <c r="A36" s="123" t="n"/>
      <c r="F36" s="124" t="n"/>
      <c r="G36" s="123" t="n"/>
      <c r="J36" s="124" t="n"/>
      <c r="K36" s="123" t="n"/>
      <c r="P36" s="124" t="n"/>
    </row>
    <row r="37" ht="26.45" customHeight="1">
      <c r="A37" s="125" t="inlineStr">
        <is>
          <t>Nombre y Firma del Responsable del Área de Desarrollo Humano</t>
        </is>
      </c>
      <c r="B37" s="108" t="n"/>
      <c r="C37" s="108" t="n"/>
      <c r="D37" s="108" t="n"/>
      <c r="E37" s="108" t="n"/>
      <c r="F37" s="106" t="n"/>
      <c r="G37" s="125" t="inlineStr">
        <is>
          <t>Nombre y Firma del Instructor</t>
        </is>
      </c>
      <c r="H37" s="108" t="n"/>
      <c r="I37" s="108" t="n"/>
      <c r="J37" s="106" t="n"/>
      <c r="K37" s="126" t="inlineStr">
        <is>
          <t>Nombre y Firma del Área Usuaria                                                                         (personal designado como supervisor técnico del evento)</t>
        </is>
      </c>
      <c r="L37" s="108" t="n"/>
      <c r="M37" s="108" t="n"/>
      <c r="N37" s="108" t="n"/>
      <c r="O37" s="108" t="n"/>
      <c r="P37" s="106" t="n"/>
    </row>
  </sheetData>
  <mergeCells count="35">
    <mergeCell ref="L7:P7"/>
    <mergeCell ref="A37:F37"/>
    <mergeCell ref="J4:L4"/>
    <mergeCell ref="A13:D13"/>
    <mergeCell ref="F7:G7"/>
    <mergeCell ref="I13:L13"/>
    <mergeCell ref="A7:B7"/>
    <mergeCell ref="G5:I5"/>
    <mergeCell ref="C10:G10"/>
    <mergeCell ref="A14:C14"/>
    <mergeCell ref="G4:I4"/>
    <mergeCell ref="C7:E7"/>
    <mergeCell ref="C5:F5"/>
    <mergeCell ref="M22:N22"/>
    <mergeCell ref="O22:P22"/>
    <mergeCell ref="M13:N13"/>
    <mergeCell ref="M5:P5"/>
    <mergeCell ref="K37:P37"/>
    <mergeCell ref="A1:P1"/>
    <mergeCell ref="C4:F4"/>
    <mergeCell ref="H7:I7"/>
    <mergeCell ref="J7:K7"/>
    <mergeCell ref="C11:G11"/>
    <mergeCell ref="A15:C15"/>
    <mergeCell ref="A34:F36"/>
    <mergeCell ref="G37:J37"/>
    <mergeCell ref="E13:H13"/>
    <mergeCell ref="K34:P36"/>
    <mergeCell ref="J5:L5"/>
    <mergeCell ref="C9:F9"/>
    <mergeCell ref="I10:P10"/>
    <mergeCell ref="G34:J36"/>
    <mergeCell ref="I9:P9"/>
    <mergeCell ref="O13:P13"/>
    <mergeCell ref="A2:P2"/>
  </mergeCells>
  <printOptions horizontalCentered="1"/>
  <pageMargins left="0.2362204724409449" right="0.2362204724409449" top="0.5511811023622047" bottom="0.2362204724409449" header="0.3937007874015748" footer="0"/>
  <pageSetup orientation="landscape" scale="88"/>
  <headerFooter alignWithMargins="0">
    <oddHeader>&amp;R&amp;7 Fecha: &amp;D_x000a_Hoja: &amp;P/&amp;N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Roxana Horta Pérez</dc:creator>
  <dcterms:created xmlns:dcterms="http://purl.org/dc/terms/" xmlns:xsi="http://www.w3.org/2001/XMLSchema-instance" xsi:type="dcterms:W3CDTF">2005-01-27T01:09:58Z</dcterms:created>
  <dcterms:modified xmlns:dcterms="http://purl.org/dc/terms/" xmlns:xsi="http://www.w3.org/2001/XMLSchema-instance" xsi:type="dcterms:W3CDTF">2026-09-26T13:31:04Z</dcterms:modified>
  <cp:lastModifiedBy>Samuel Antonio Guerrero Chávez</cp:lastModifiedBy>
  <cp:lastPrinted>2022-09-26T14:08:33Z</cp:lastPrinted>
</cp:coreProperties>
</file>