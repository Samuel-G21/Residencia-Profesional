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92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19" fillId="0" borderId="14" applyAlignment="1" applyProtection="1" pivotButton="0" quotePrefix="0" xfId="0">
      <alignment horizontal="center" vertical="center" shrinkToFi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23" fillId="27" borderId="21" applyAlignment="1" applyProtection="1" pivotButton="0" quotePrefix="0" xfId="0">
      <alignment horizontal="center" vertical="center" shrinkToFit="1"/>
      <protection locked="0" hidden="0"/>
    </xf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0" fontId="23" fillId="27" borderId="12" applyAlignment="1" applyProtection="1" pivotButton="0" quotePrefix="0" xfId="0">
      <alignment horizontal="center" vertical="center" textRotation="90" shrinkToFit="1"/>
      <protection locked="0" hidden="0"/>
    </xf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shrinkToFi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44" t="inlineStr">
        <is>
          <t>{{ nombre_evento }}</t>
        </is>
      </c>
      <c r="E9" s="145" t="n"/>
      <c r="F9" s="145" t="n"/>
      <c r="G9" s="145" t="n"/>
      <c r="H9" s="146" t="n"/>
      <c r="I9" s="122" t="inlineStr">
        <is>
          <t xml:space="preserve">Clave </t>
        </is>
      </c>
      <c r="J9" s="143" t="n"/>
      <c r="K9" s="123" t="n"/>
      <c r="L9" s="145" t="n"/>
      <c r="M9" s="146" t="n"/>
    </row>
    <row r="10">
      <c r="A10" s="113" t="inlineStr">
        <is>
          <t>Tipo de Instructor 
(Interno/Externo)</t>
        </is>
      </c>
      <c r="B10" s="147" t="n"/>
      <c r="C10" s="148" t="n"/>
      <c r="D10" s="149" t="inlineStr">
        <is>
          <t xml:space="preserve">Interno </t>
        </is>
      </c>
      <c r="E10" s="150" t="n"/>
      <c r="F10" s="150" t="n"/>
      <c r="G10" s="150" t="n"/>
      <c r="H10" s="151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2" t="n"/>
      <c r="B11" s="153" t="n"/>
      <c r="C11" s="154" t="n"/>
      <c r="D11" s="155" t="n"/>
      <c r="E11" s="156" t="n"/>
      <c r="F11" s="156" t="n"/>
      <c r="G11" s="156" t="n"/>
      <c r="H11" s="157" t="n"/>
      <c r="I11" s="158" t="n"/>
      <c r="J11" s="117" t="n">
        <v>46167</v>
      </c>
      <c r="K11" s="146" t="n"/>
      <c r="L11" s="117" t="n">
        <v>46193</v>
      </c>
      <c r="M11" s="146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9" t="n">
        <v>62023</v>
      </c>
      <c r="F12" s="145" t="n"/>
      <c r="G12" s="145" t="n"/>
      <c r="H12" s="146" t="n"/>
      <c r="I12" s="101" t="inlineStr">
        <is>
          <t>Inversión directa por participante (m.n.)</t>
        </is>
      </c>
      <c r="J12" s="143" t="n"/>
      <c r="K12" s="160">
        <f>E12/E13</f>
        <v/>
      </c>
      <c r="L12" s="145" t="n"/>
      <c r="M12" s="161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5" t="n"/>
      <c r="G13" s="145" t="n"/>
      <c r="H13" s="146" t="n"/>
      <c r="I13" s="162" t="inlineStr">
        <is>
          <t>Número de trabajadores del departamento que aprobaron:</t>
        </is>
      </c>
      <c r="J13" s="143" t="n"/>
      <c r="K13" s="163" t="n">
        <v>4</v>
      </c>
      <c r="L13" s="145" t="n"/>
      <c r="M13" s="161" t="n"/>
    </row>
    <row r="14" ht="3" customHeight="1">
      <c r="A14" s="164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5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6" t="n"/>
      <c r="B16" s="145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61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6" t="n"/>
      <c r="B18" s="145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61" t="n"/>
    </row>
    <row r="19" ht="3" customHeight="1">
      <c r="A19" s="164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5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7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7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4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5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5" t="n"/>
      <c r="F25" s="145" t="n"/>
      <c r="G25" s="145" t="n"/>
      <c r="H25" s="146" t="n"/>
      <c r="I25" s="115" t="inlineStr">
        <is>
          <t>Centro de Trabajo</t>
        </is>
      </c>
      <c r="J25" s="60" t="inlineStr">
        <is>
          <t>REFINERÍA DE TULA</t>
        </is>
      </c>
      <c r="K25" s="145" t="n"/>
      <c r="L25" s="145" t="n"/>
      <c r="M25" s="146" t="n"/>
    </row>
    <row r="26" ht="24" customHeight="1">
      <c r="A26" s="62" t="inlineStr">
        <is>
          <t>Departamento</t>
        </is>
      </c>
      <c r="B26" s="142" t="n"/>
      <c r="C26" s="143" t="n"/>
      <c r="D26" s="149" t="inlineStr">
        <is>
          <t>GERENCIA DE REFINERÍA TULA</t>
        </is>
      </c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6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8" t="n"/>
      <c r="C28" s="168" t="n"/>
      <c r="D28" s="168" t="n"/>
      <c r="E28" s="168" t="n"/>
      <c r="F28" s="168" t="n"/>
      <c r="G28" s="168" t="n"/>
      <c r="H28" s="168" t="n"/>
      <c r="I28" s="168" t="n"/>
      <c r="J28" s="168" t="n"/>
      <c r="K28" s="168" t="n"/>
      <c r="L28" s="168" t="n"/>
      <c r="M28" s="169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8" t="n"/>
      <c r="C29" s="168" t="n"/>
      <c r="D29" s="168" t="n"/>
      <c r="E29" s="168" t="n"/>
      <c r="F29" s="168" t="n"/>
      <c r="G29" s="42" t="n"/>
      <c r="H29" s="145" t="n"/>
      <c r="I29" s="68" t="inlineStr">
        <is>
          <t>Información de los trabajadores</t>
        </is>
      </c>
      <c r="J29" s="168" t="n"/>
      <c r="K29" s="168" t="n"/>
      <c r="L29" s="168" t="n"/>
      <c r="M29" s="170" t="n"/>
    </row>
    <row r="30" ht="26.25" customHeight="1">
      <c r="A30" s="171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2" t="n"/>
      <c r="I30" s="173" t="inlineStr">
        <is>
          <t>{% tr %}{% for participante in lista_participantes %}{{ participante.ficha }}</t>
        </is>
      </c>
      <c r="J30" s="27" t="n"/>
      <c r="K30" s="27" t="n"/>
      <c r="L30" s="27" t="n"/>
      <c r="M30" s="173" t="inlineStr">
        <is>
          <t>{% endfor %}</t>
        </is>
      </c>
      <c r="N30" s="131" t="n"/>
    </row>
    <row r="31" ht="102" customHeight="1">
      <c r="A31" s="174" t="n"/>
      <c r="B31" s="175" t="n"/>
      <c r="C31" s="175" t="n"/>
      <c r="D31" s="175" t="n"/>
      <c r="E31" s="175" t="n"/>
      <c r="F31" s="175" t="n"/>
      <c r="G31" s="175" t="n"/>
      <c r="H31" s="176" t="n"/>
      <c r="I31" s="177" t="inlineStr">
        <is>
          <t>{{ paticipante.nombe_completo }}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8" t="n"/>
      <c r="C32" s="168" t="n"/>
      <c r="D32" s="168" t="n"/>
      <c r="E32" s="168" t="n"/>
      <c r="F32" s="168" t="n"/>
      <c r="G32" s="168" t="n"/>
      <c r="H32" s="169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8" t="n"/>
      <c r="C33" s="168" t="n"/>
      <c r="D33" s="168" t="n"/>
      <c r="E33" s="168" t="n"/>
      <c r="F33" s="168" t="n"/>
      <c r="G33" s="168" t="n"/>
      <c r="H33" s="169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8" t="n"/>
      <c r="C34" s="168" t="n"/>
      <c r="D34" s="168" t="n"/>
      <c r="E34" s="168" t="n"/>
      <c r="F34" s="168" t="n"/>
      <c r="G34" s="168" t="n"/>
      <c r="H34" s="169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8" t="n"/>
      <c r="C35" s="168" t="n"/>
      <c r="D35" s="168" t="n"/>
      <c r="E35" s="168" t="n"/>
      <c r="F35" s="168" t="n"/>
      <c r="G35" s="168" t="n"/>
      <c r="H35" s="169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8" t="n"/>
      <c r="C36" s="168" t="n"/>
      <c r="D36" s="168" t="n"/>
      <c r="E36" s="168" t="n"/>
      <c r="F36" s="168" t="n"/>
      <c r="G36" s="168" t="n"/>
      <c r="H36" s="169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8" t="n"/>
      <c r="C37" s="168" t="n"/>
      <c r="D37" s="168" t="n"/>
      <c r="E37" s="168" t="n"/>
      <c r="F37" s="168" t="n"/>
      <c r="G37" s="168" t="n"/>
      <c r="H37" s="169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8" t="n"/>
      <c r="C38" s="168" t="n"/>
      <c r="D38" s="168" t="n"/>
      <c r="E38" s="168" t="n"/>
      <c r="F38" s="168" t="n"/>
      <c r="G38" s="168" t="n"/>
      <c r="H38" s="169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8" t="n"/>
      <c r="C39" s="168" t="n"/>
      <c r="D39" s="168" t="n"/>
      <c r="E39" s="168" t="n"/>
      <c r="F39" s="168" t="n"/>
      <c r="G39" s="168" t="n"/>
      <c r="H39" s="169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8" t="n"/>
      <c r="C40" s="168" t="n"/>
      <c r="D40" s="168" t="n"/>
      <c r="E40" s="168" t="n"/>
      <c r="F40" s="168" t="n"/>
      <c r="G40" s="168" t="n"/>
      <c r="H40" s="169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8" t="n"/>
      <c r="C41" s="168" t="n"/>
      <c r="D41" s="168" t="n"/>
      <c r="E41" s="168" t="n"/>
      <c r="F41" s="168" t="n"/>
      <c r="G41" s="168" t="n"/>
      <c r="H41" s="169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8" t="n"/>
      <c r="C42" s="168" t="n"/>
      <c r="D42" s="168" t="n"/>
      <c r="E42" s="168" t="n"/>
      <c r="F42" s="168" t="n"/>
      <c r="G42" s="168" t="n"/>
      <c r="H42" s="169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8" t="n"/>
      <c r="C43" s="168" t="n"/>
      <c r="D43" s="168" t="n"/>
      <c r="E43" s="168" t="n"/>
      <c r="F43" s="168" t="n"/>
      <c r="G43" s="168" t="n"/>
      <c r="H43" s="169" t="n"/>
      <c r="I43" s="178">
        <f>10*((G29)*((SUM(I42:M42)/G29)*(K12)/$E$12))</f>
        <v/>
      </c>
      <c r="J43" s="179" t="n"/>
      <c r="K43" s="179" t="n"/>
      <c r="L43" s="179" t="n"/>
      <c r="M43" s="180" t="n"/>
    </row>
    <row r="44" ht="3" customHeight="1">
      <c r="A44" s="164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5" t="n"/>
    </row>
    <row r="45" ht="22.9" customHeight="1">
      <c r="A45" s="87" t="inlineStr">
        <is>
          <t>Referente al curso:</t>
        </is>
      </c>
      <c r="B45" s="168" t="n"/>
      <c r="C45" s="168" t="n"/>
      <c r="D45" s="168" t="n"/>
      <c r="E45" s="168" t="n"/>
      <c r="F45" s="168" t="n"/>
      <c r="G45" s="168" t="n"/>
      <c r="H45" s="169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8" t="n"/>
      <c r="C46" s="168" t="n"/>
      <c r="D46" s="168" t="n"/>
      <c r="E46" s="168" t="n"/>
      <c r="F46" s="168" t="n"/>
      <c r="G46" s="168" t="n"/>
      <c r="H46" s="169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8" t="n"/>
      <c r="C47" s="168" t="n"/>
      <c r="D47" s="168" t="n"/>
      <c r="E47" s="168" t="n"/>
      <c r="F47" s="168" t="n"/>
      <c r="G47" s="168" t="n"/>
      <c r="H47" s="169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8" t="n"/>
      <c r="C48" s="168" t="n"/>
      <c r="D48" s="168" t="n"/>
      <c r="E48" s="168" t="n"/>
      <c r="F48" s="168" t="n"/>
      <c r="G48" s="168" t="n"/>
      <c r="H48" s="169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8" t="n"/>
      <c r="C49" s="168" t="n"/>
      <c r="D49" s="168" t="n"/>
      <c r="E49" s="168" t="n"/>
      <c r="F49" s="168" t="n"/>
      <c r="G49" s="168" t="n"/>
      <c r="H49" s="169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81" t="n"/>
      <c r="M50" s="141" t="n"/>
    </row>
    <row r="51">
      <c r="A51" s="182" t="inlineStr">
        <is>
          <t>Comentarios para la mejora de eventos subsecuentes</t>
        </is>
      </c>
      <c r="B51" s="168" t="n"/>
      <c r="C51" s="168" t="n"/>
      <c r="D51" s="168" t="n"/>
      <c r="E51" s="168" t="n"/>
      <c r="F51" s="168" t="n"/>
      <c r="G51" s="168" t="n"/>
      <c r="H51" s="168" t="n"/>
      <c r="I51" s="168" t="n"/>
      <c r="J51" s="168" t="n"/>
      <c r="K51" s="168" t="n"/>
      <c r="L51" s="168" t="n"/>
      <c r="M51" s="170" t="n"/>
    </row>
    <row r="52" ht="40.5" customHeight="1">
      <c r="A52" s="183" t="n"/>
      <c r="B52" s="184" t="n"/>
      <c r="C52" s="184" t="n"/>
      <c r="D52" s="184" t="n"/>
      <c r="E52" s="184" t="n"/>
      <c r="F52" s="184" t="n"/>
      <c r="G52" s="184" t="n"/>
      <c r="H52" s="184" t="n"/>
      <c r="I52" s="184" t="n"/>
      <c r="J52" s="184" t="n"/>
      <c r="K52" s="184" t="n"/>
      <c r="L52" s="184" t="n"/>
      <c r="M52" s="185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6" t="n"/>
      <c r="E54" s="186" t="n"/>
      <c r="F54" s="186" t="n"/>
      <c r="G54" s="21" t="n"/>
      <c r="H54" s="21" t="n"/>
      <c r="I54" s="187" t="inlineStr">
        <is>
          <t>{{nombre_supervisor}} F-{{ficha_supervisor}}</t>
        </is>
      </c>
      <c r="J54" s="186" t="n"/>
      <c r="K54" s="186" t="n"/>
      <c r="L54" s="186" t="n"/>
      <c r="M54" s="23" t="n"/>
    </row>
    <row r="55" ht="27.75" customHeight="1">
      <c r="A55" s="24" t="n"/>
      <c r="B55" s="25" t="n"/>
      <c r="C55" s="188" t="n"/>
      <c r="D55" s="188" t="n"/>
      <c r="E55" s="188" t="n"/>
      <c r="F55" s="188" t="n"/>
      <c r="G55" s="21" t="n"/>
      <c r="H55" s="26" t="n"/>
      <c r="I55" s="188" t="n"/>
      <c r="J55" s="188" t="n"/>
      <c r="K55" s="188" t="n"/>
      <c r="L55" s="188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6" t="n"/>
      <c r="E56" s="186" t="n"/>
      <c r="F56" s="186" t="n"/>
      <c r="G56" s="25" t="n"/>
      <c r="H56" s="25" t="n"/>
      <c r="I56" s="139" t="inlineStr">
        <is>
          <t>Nombre y firma del responsable del Área Usuaria</t>
        </is>
      </c>
      <c r="J56" s="186" t="n"/>
      <c r="K56" s="186" t="n"/>
      <c r="L56" s="186" t="n"/>
      <c r="M56" s="23" t="n"/>
    </row>
    <row r="57">
      <c r="A57" s="189" t="n"/>
      <c r="B57" s="190" t="n"/>
      <c r="C57" s="190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190" t="n"/>
      <c r="M57" s="191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2026-09-28T16:36:59Z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